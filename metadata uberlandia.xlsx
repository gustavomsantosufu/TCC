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cdfd3c84dac7ee/Faculdade/TCC2/"/>
    </mc:Choice>
  </mc:AlternateContent>
  <xr:revisionPtr revIDLastSave="0" documentId="8_{7165D2FC-0270-474C-B2F0-566DBDCB1C13}" xr6:coauthVersionLast="47" xr6:coauthVersionMax="47" xr10:uidLastSave="{00000000-0000-0000-0000-000000000000}"/>
  <bookViews>
    <workbookView xWindow="-120" yWindow="-120" windowWidth="29040" windowHeight="15720" activeTab="2" xr2:uid="{70C0729D-1954-4D5E-ACFD-F2E13E09EAA1}"/>
  </bookViews>
  <sheets>
    <sheet name="despesa" sheetId="1" r:id="rId1"/>
    <sheet name="liquidacao" sheetId="2" r:id="rId2"/>
    <sheet name="desp pa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4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4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4" i="1"/>
  <c r="G4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<sst xmlns="http://schemas.openxmlformats.org/spreadsheetml/2006/main" count="379" uniqueCount="172">
  <si>
    <t>Nome do Arquivo: DESPESA – Informações referentes as Despesas do órgão.</t>
  </si>
  <si>
    <r>
      <t xml:space="preserve">Campos que determinam a chave do registro: </t>
    </r>
    <r>
      <rPr>
        <b/>
        <i/>
        <sz val="10"/>
        <color rgb="FF000000"/>
        <rFont val="Arial"/>
        <family val="2"/>
      </rPr>
      <t>seq_orgao</t>
    </r>
  </si>
  <si>
    <t>seq</t>
  </si>
  <si>
    <t>Nome do Campo</t>
  </si>
  <si>
    <t>Tamanho máximo</t>
  </si>
  <si>
    <t>Formato</t>
  </si>
  <si>
    <t>Obrigatório</t>
  </si>
  <si>
    <t>Conteúdo</t>
  </si>
  <si>
    <t>seq_orgao</t>
  </si>
  <si>
    <t>Sempre 5</t>
  </si>
  <si>
    <t>Number</t>
  </si>
  <si>
    <t>Sim</t>
  </si>
  <si>
    <t>Sequencial identificador do órgão.</t>
  </si>
  <si>
    <r>
      <t>2.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Arial"/>
        <family val="2"/>
      </rPr>
      <t> </t>
    </r>
  </si>
  <si>
    <t>cod_municipio</t>
  </si>
  <si>
    <t>Sempre 7</t>
  </si>
  <si>
    <t>Código IBGE do município.</t>
  </si>
  <si>
    <r>
      <t>3.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Arial"/>
        <family val="2"/>
      </rPr>
      <t> </t>
    </r>
  </si>
  <si>
    <t>seq_unidade</t>
  </si>
  <si>
    <t>Varchar</t>
  </si>
  <si>
    <t xml:space="preserve">Sequencial identificador da unidade orçamentária. </t>
  </si>
  <si>
    <r>
      <t>4.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Arial"/>
        <family val="2"/>
      </rPr>
      <t> </t>
    </r>
  </si>
  <si>
    <t>cod_unidade</t>
  </si>
  <si>
    <t>Unidades orçamentárias do município</t>
  </si>
  <si>
    <r>
      <t>5.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Arial"/>
        <family val="2"/>
      </rPr>
      <t> </t>
    </r>
  </si>
  <si>
    <t>cod_subunidade</t>
  </si>
  <si>
    <t>Subunidades orçamentárias do município. Recebe -9 caso o valor seja nulo.</t>
  </si>
  <si>
    <r>
      <t>6.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Arial"/>
        <family val="2"/>
      </rPr>
      <t> </t>
    </r>
  </si>
  <si>
    <t>num_anoexercicio</t>
  </si>
  <si>
    <t>Sempre 4</t>
  </si>
  <si>
    <t>Número do ano de referência da informação.</t>
  </si>
  <si>
    <r>
      <t>7.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Arial"/>
        <family val="2"/>
      </rPr>
      <t> </t>
    </r>
  </si>
  <si>
    <t>num_mesexercicio</t>
  </si>
  <si>
    <t>Número do mês de referência da informação.</t>
  </si>
  <si>
    <r>
      <t>8.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Arial"/>
        <family val="2"/>
      </rPr>
      <t> </t>
    </r>
  </si>
  <si>
    <t>dsc_funcao</t>
  </si>
  <si>
    <t>Representa a função na qual foi destinada a previsão / execução da despesa.</t>
  </si>
  <si>
    <r>
      <t>9.</t>
    </r>
    <r>
      <rPr>
        <sz val="7"/>
        <color rgb="FF000000"/>
        <rFont val="Times New Roman"/>
        <family val="1"/>
      </rPr>
      <t xml:space="preserve">     </t>
    </r>
    <r>
      <rPr>
        <sz val="10"/>
        <color rgb="FF000000"/>
        <rFont val="Arial"/>
        <family val="2"/>
      </rPr>
      <t> </t>
    </r>
  </si>
  <si>
    <t>dsc_subfuncao</t>
  </si>
  <si>
    <t>Representa  a subfuncão na qual foi destinada a previsão / execução da despesa.</t>
  </si>
  <si>
    <r>
      <t>10.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Arial"/>
        <family val="2"/>
      </rPr>
      <t> </t>
    </r>
  </si>
  <si>
    <t>dsc_programa</t>
  </si>
  <si>
    <t>Representa  o programa no qual foi destinada a previsão / execução da despesa.</t>
  </si>
  <si>
    <r>
      <t>11.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Arial"/>
        <family val="2"/>
      </rPr>
      <t> </t>
    </r>
  </si>
  <si>
    <t>dsc_acao</t>
  </si>
  <si>
    <t>Representa  a ação na qual foi destinada a previsão / execução da despesa.</t>
  </si>
  <si>
    <r>
      <t>12.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Arial"/>
        <family val="2"/>
      </rPr>
      <t> </t>
    </r>
  </si>
  <si>
    <t>dsc_subacao</t>
  </si>
  <si>
    <t>Representa  a subação na qual foi destinada a previsão / execução da despesa.</t>
  </si>
  <si>
    <r>
      <t>13.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Arial"/>
        <family val="2"/>
      </rPr>
      <t> </t>
    </r>
  </si>
  <si>
    <t>dsc_naturezadespesa</t>
  </si>
  <si>
    <t>Representa a natureza da despesa na qual foi destinada a previsão / execução da despesa.</t>
  </si>
  <si>
    <r>
      <t>14.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Arial"/>
        <family val="2"/>
      </rPr>
      <t> </t>
    </r>
  </si>
  <si>
    <t>dsc_fonterecurso</t>
  </si>
  <si>
    <t>Representa  a fonte de recurso na qual foi destinada a previsão / execução da despesa</t>
  </si>
  <si>
    <r>
      <t>15.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Arial"/>
        <family val="2"/>
      </rPr>
      <t> </t>
    </r>
  </si>
  <si>
    <t>dsc_codorcamentario</t>
  </si>
  <si>
    <t>Representa o código orçamentário na qual foi destinada a despesa. Inserido em 2023.</t>
  </si>
  <si>
    <r>
      <t>16.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Arial"/>
        <family val="2"/>
      </rPr>
      <t> </t>
    </r>
  </si>
  <si>
    <t>vlr_previsto</t>
  </si>
  <si>
    <t xml:space="preserve">Valor previsto das despesas informadas pelo município. </t>
  </si>
  <si>
    <r>
      <t>17.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Arial"/>
        <family val="2"/>
      </rPr>
      <t> </t>
    </r>
  </si>
  <si>
    <t>vlr_acrescimo</t>
  </si>
  <si>
    <t>Valor acrescido das despesas previstas inicialmente informadas pelo município.</t>
  </si>
  <si>
    <r>
      <t>18.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Arial"/>
        <family val="2"/>
      </rPr>
      <t> </t>
    </r>
  </si>
  <si>
    <t>vlr_reducao</t>
  </si>
  <si>
    <t>Valor das deduções das despesas previstas inicialmente informadas pelo município.</t>
  </si>
  <si>
    <r>
      <t>19.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Arial"/>
        <family val="2"/>
      </rPr>
      <t> </t>
    </r>
  </si>
  <si>
    <t>vlr_empenhado</t>
  </si>
  <si>
    <t>Valor empenhado das despesas atualizadas informadas pelo município.</t>
  </si>
  <si>
    <r>
      <t>20.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Arial"/>
        <family val="2"/>
      </rPr>
      <t> </t>
    </r>
  </si>
  <si>
    <t>vlr_liquidado</t>
  </si>
  <si>
    <t>Valor liquidado das despesas atualizadas informadas pelo município.</t>
  </si>
  <si>
    <r>
      <t>21.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Arial"/>
        <family val="2"/>
      </rPr>
      <t> </t>
    </r>
  </si>
  <si>
    <t>vlr_pago</t>
  </si>
  <si>
    <t>Valor pago das despesas atualizadas informadas pelo município.</t>
  </si>
  <si>
    <r>
      <t>22.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Arial"/>
        <family val="2"/>
      </rPr>
      <t> </t>
    </r>
  </si>
  <si>
    <t>vlr_rspprocessado</t>
  </si>
  <si>
    <t>Valor liquidado que não foi pago no exercício  das despesas atualizadas informadas pelo município.</t>
  </si>
  <si>
    <r>
      <t>23.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Arial"/>
        <family val="2"/>
      </rPr>
      <t> </t>
    </r>
  </si>
  <si>
    <t>vlr_rspnprocprocessado</t>
  </si>
  <si>
    <t>Valor empenhado que não foi liquidado no exercício  das despesas atualizadas informadas pelo município</t>
  </si>
  <si>
    <r>
      <t>24.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Arial"/>
        <family val="2"/>
      </rPr>
      <t> </t>
    </r>
  </si>
  <si>
    <t>num_versaoarq</t>
  </si>
  <si>
    <t>Corresponde quanto a versão do arquivo</t>
  </si>
  <si>
    <t>Nome do Arquivo: LIQUIDACAO -  Informações referentes as Liquidações realizadas pelo órgão.</t>
  </si>
  <si>
    <r>
      <t xml:space="preserve">Campos que determinam a chave do registro: </t>
    </r>
    <r>
      <rPr>
        <b/>
        <i/>
        <sz val="10"/>
        <color rgb="FF000000"/>
        <rFont val="Arial"/>
        <family val="2"/>
      </rPr>
      <t>seq_liquidacao</t>
    </r>
  </si>
  <si>
    <t>seq_liquidacao</t>
  </si>
  <si>
    <t>Sequencial identificador da liquidação.</t>
  </si>
  <si>
    <t>Chave identificadora do órgão.</t>
  </si>
  <si>
    <t>Sequencial identificador da unidade orçamentária.</t>
  </si>
  <si>
    <t>seq_empenho</t>
  </si>
  <si>
    <t>Sequencial identificador do empenho.</t>
  </si>
  <si>
    <t>seq_rsp</t>
  </si>
  <si>
    <t>Sequencial identificador do resto a pagar.</t>
  </si>
  <si>
    <t>num_ano_referencia</t>
  </si>
  <si>
    <t>Representa o ano de referência da informação.</t>
  </si>
  <si>
    <t>num_mes_referencia</t>
  </si>
  <si>
    <t>Representa o mês de referência da informação.</t>
  </si>
  <si>
    <t>num_liquidacao</t>
  </si>
  <si>
    <t>Número da liquidação.</t>
  </si>
  <si>
    <t>dat_liquidacao</t>
  </si>
  <si>
    <t>Data</t>
  </si>
  <si>
    <t>Data da liquidação.</t>
  </si>
  <si>
    <t>dsc_tipo_liquidacao</t>
  </si>
  <si>
    <t>Descrição do tipo de liquidação.</t>
  </si>
  <si>
    <t>num_doc_liquidante</t>
  </si>
  <si>
    <t>Número de documento do liquidante.</t>
  </si>
  <si>
    <t>nom_liquidante</t>
  </si>
  <si>
    <t>Nome do liquidante.</t>
  </si>
  <si>
    <t>vlr_liquidacao</t>
  </si>
  <si>
    <t>Valor Liquidado do empenho / restos a pagar</t>
  </si>
  <si>
    <t>vlr_anu_liquidacao</t>
  </si>
  <si>
    <t>Valor anulado da liquidação.</t>
  </si>
  <si>
    <t>Nome do Arquivo: PAGAMENTO – Informações referentes aos Pagamentos realizados pelos órgãos municipais.</t>
  </si>
  <si>
    <r>
      <t xml:space="preserve">Campos que determinam a chave do registro: </t>
    </r>
    <r>
      <rPr>
        <b/>
        <i/>
        <sz val="10"/>
        <color rgb="FF000000"/>
        <rFont val="Arial"/>
        <family val="2"/>
      </rPr>
      <t>seq_pagamento</t>
    </r>
  </si>
  <si>
    <t>seq_pagamento</t>
  </si>
  <si>
    <t>Sequencial identificador do pagamento.</t>
  </si>
  <si>
    <t>Sequencial identificador da unidade orçamentário.</t>
  </si>
  <si>
    <t>Sequencial identificador do restos a pagar.</t>
  </si>
  <si>
    <t>seq_orgao_empenho</t>
  </si>
  <si>
    <t>Sequencial identificador do órgão responsável pelo empenho.</t>
  </si>
  <si>
    <t>seq_unid_empenho</t>
  </si>
  <si>
    <t>Sequencial identificador da unidade orçamentária do empenho.</t>
  </si>
  <si>
    <t>Sempre 2</t>
  </si>
  <si>
    <t>num_doc_resp</t>
  </si>
  <si>
    <t>Sempre 11</t>
  </si>
  <si>
    <t>Número do documento do responsável pelo pagamento.</t>
  </si>
  <si>
    <t>nom_resp</t>
  </si>
  <si>
    <t>Nome do responsável pelo pagamento.</t>
  </si>
  <si>
    <t>num_doc_credor</t>
  </si>
  <si>
    <t>Número de documento do credor do pagamento.</t>
  </si>
  <si>
    <t>nom_credor</t>
  </si>
  <si>
    <t>Nome do credor do pagamento.</t>
  </si>
  <si>
    <t>num_empenho</t>
  </si>
  <si>
    <t>Número do empenho.</t>
  </si>
  <si>
    <t>dat_empenho</t>
  </si>
  <si>
    <t>Data do empenho.</t>
  </si>
  <si>
    <t>num_ord_pagamento</t>
  </si>
  <si>
    <t>Número da ordem de pagamento.</t>
  </si>
  <si>
    <t>dat_pagamento</t>
  </si>
  <si>
    <t>Data do pagamento.</t>
  </si>
  <si>
    <t>dsc_pagamento</t>
  </si>
  <si>
    <t>Descrição do pagamento.</t>
  </si>
  <si>
    <t>dsc_tipo_pagamento</t>
  </si>
  <si>
    <t>Descrição do tipo do pagamento.</t>
  </si>
  <si>
    <t>1 – Pagamento de despesa, exceto Serviço da Dívida;</t>
  </si>
  <si>
    <t>2 – Pagamento de Serviço da Dívida;</t>
  </si>
  <si>
    <t>3 – Pagamento de Restos a Pagar Processados e Não Processados Liquidados em Exercícios Anteriores;</t>
  </si>
  <si>
    <t>4 – Pagamento de Restos a Pagar Não Processados Liquidados no Exercício Atual;</t>
  </si>
  <si>
    <t>5 – Pagamento de despesa empenhada por outro órgão.</t>
  </si>
  <si>
    <t>6 – Pagamento realizado por outro órgão</t>
  </si>
  <si>
    <t>dsc_fonte_recurso</t>
  </si>
  <si>
    <t>Descrição da fonte de recurso.</t>
  </si>
  <si>
    <t>dsc_cod_orcamentario</t>
  </si>
  <si>
    <t>Descrição do código orçamentário. Inserido em 2023.</t>
  </si>
  <si>
    <r>
      <t>25.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Arial"/>
        <family val="2"/>
      </rPr>
      <t> </t>
    </r>
  </si>
  <si>
    <t>vlr_pag_fonte</t>
  </si>
  <si>
    <t>Valor pago por fonte de recurso.</t>
  </si>
  <si>
    <r>
      <t>26.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Arial"/>
        <family val="2"/>
      </rPr>
      <t> </t>
    </r>
  </si>
  <si>
    <t>vlr_ret_fonte</t>
  </si>
  <si>
    <t>Valor retido do pagamento por fonte de recurso.</t>
  </si>
  <si>
    <r>
      <t>27.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Arial"/>
        <family val="2"/>
      </rPr>
      <t> </t>
    </r>
  </si>
  <si>
    <t>vlr_ant_fonte</t>
  </si>
  <si>
    <t>Valor antecipado do pagamento por fonte de recurso.</t>
  </si>
  <si>
    <r>
      <t>28.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Arial"/>
        <family val="2"/>
      </rPr>
      <t> </t>
    </r>
  </si>
  <si>
    <t>vlr_anu_fonte</t>
  </si>
  <si>
    <t>Valor anulado do pagamento por fonte de recurso.</t>
  </si>
  <si>
    <r>
      <t>29.</t>
    </r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Arial"/>
        <family val="2"/>
      </rPr>
      <t> </t>
    </r>
  </si>
  <si>
    <t>lookup liquidacao</t>
  </si>
  <si>
    <t>lookup desc pag</t>
  </si>
  <si>
    <t>único que talvez possa incluir em desp pag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</si>
</sst>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Times New Roman"/>
      <family val="1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 indent="2"/>
    </xf>
    <xf numFmtId="0" fontId="5" fillId="0" borderId="6" xfId="0" applyFont="1" applyBorder="1" applyAlignment="1">
      <alignment vertical="center" wrapText="1"/>
    </xf>
    <xf numFmtId="0" fontId="5" fillId="0" borderId="5" xfId="0" applyFont="1" applyBorder="1" applyAlignment="1">
      <alignment horizontal="justify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top" wrapText="1"/>
    </xf>
    <xf numFmtId="0" fontId="7" fillId="0" borderId="5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7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5" fillId="0" borderId="9" xfId="0" applyFont="1" applyBorder="1" applyAlignment="1">
      <alignment vertical="center" wrapText="1"/>
    </xf>
    <xf numFmtId="0" fontId="5" fillId="0" borderId="9" xfId="0" applyFont="1" applyBorder="1" applyAlignment="1">
      <alignment horizontal="justify" vertical="center" wrapText="1"/>
    </xf>
    <xf numFmtId="0" fontId="5" fillId="0" borderId="8" xfId="0" applyFont="1" applyBorder="1" applyAlignment="1">
      <alignment horizontal="left" vertical="center" wrapText="1" indent="2"/>
    </xf>
    <xf numFmtId="0" fontId="5" fillId="0" borderId="10" xfId="0" applyFont="1" applyBorder="1" applyAlignment="1">
      <alignment horizontal="left" vertical="center" wrapText="1" indent="2"/>
    </xf>
    <xf numFmtId="0" fontId="5" fillId="0" borderId="4" xfId="0" applyFont="1" applyBorder="1" applyAlignment="1">
      <alignment horizontal="left" vertical="center" wrapText="1" indent="2"/>
    </xf>
    <xf numFmtId="0" fontId="5" fillId="0" borderId="10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1" fillId="2" borderId="4" xfId="0" applyFont="1" applyFill="1" applyBorder="1" applyAlignment="1">
      <alignment vertical="top" wrapText="1"/>
    </xf>
    <xf numFmtId="0" fontId="4" fillId="2" borderId="5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top" wrapText="1"/>
    </xf>
    <xf numFmtId="0" fontId="5" fillId="3" borderId="4" xfId="0" applyFont="1" applyFill="1" applyBorder="1" applyAlignment="1">
      <alignment horizontal="left" vertical="center" wrapText="1" indent="2"/>
    </xf>
    <xf numFmtId="0" fontId="7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horizontal="left" vertical="center" wrapText="1" indent="2"/>
    </xf>
    <xf numFmtId="0" fontId="5" fillId="4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justify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07145-7669-4BEF-BD5C-74483C80C4EF}">
  <dimension ref="A1:L27"/>
  <sheetViews>
    <sheetView topLeftCell="A3" workbookViewId="0">
      <selection activeCell="K4" sqref="K4"/>
    </sheetView>
  </sheetViews>
  <sheetFormatPr defaultRowHeight="15" x14ac:dyDescent="0.25"/>
  <cols>
    <col min="2" max="2" width="20.28515625" customWidth="1"/>
    <col min="3" max="3" width="25.42578125" customWidth="1"/>
    <col min="4" max="4" width="11.5703125" customWidth="1"/>
    <col min="6" max="6" width="71.42578125" customWidth="1"/>
    <col min="7" max="7" width="17.140625" customWidth="1"/>
    <col min="8" max="8" width="28.5703125" customWidth="1"/>
  </cols>
  <sheetData>
    <row r="1" spans="1:12" ht="15.75" thickBot="1" x14ac:dyDescent="0.3">
      <c r="A1" s="28" t="s">
        <v>0</v>
      </c>
      <c r="B1" s="29"/>
      <c r="C1" s="29"/>
      <c r="D1" s="29"/>
      <c r="E1" s="29"/>
      <c r="F1" s="30"/>
    </row>
    <row r="2" spans="1:12" ht="15.75" thickBot="1" x14ac:dyDescent="0.3">
      <c r="A2" s="9" t="s">
        <v>1</v>
      </c>
      <c r="B2" s="10"/>
      <c r="C2" s="10"/>
      <c r="D2" s="10"/>
      <c r="E2" s="10"/>
      <c r="F2" s="11"/>
    </row>
    <row r="3" spans="1:12" ht="26.25" thickBot="1" x14ac:dyDescent="0.3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39" t="s">
        <v>169</v>
      </c>
      <c r="H3" s="39" t="s">
        <v>170</v>
      </c>
    </row>
    <row r="4" spans="1:12" ht="15.75" thickBot="1" x14ac:dyDescent="0.3">
      <c r="A4" s="25"/>
      <c r="B4" s="26" t="s">
        <v>8</v>
      </c>
      <c r="C4" s="27" t="s">
        <v>9</v>
      </c>
      <c r="D4" s="27" t="s">
        <v>10</v>
      </c>
      <c r="E4" s="27" t="s">
        <v>11</v>
      </c>
      <c r="F4" s="27" t="s">
        <v>12</v>
      </c>
      <c r="G4" t="str">
        <f>VLOOKUP(B4,liquidacao!B:B,1,0)</f>
        <v>seq_orgao</v>
      </c>
      <c r="H4" t="str">
        <f>VLOOKUP(B4,'desp pag'!B:B,1,0)</f>
        <v>seq_orgao</v>
      </c>
      <c r="K4" t="e">
        <f>VLOOKUP(F4,liquidacao!F:F,1,0)</f>
        <v>#N/A</v>
      </c>
      <c r="L4" t="str">
        <f>VLOOKUP(F4,'desp pag'!F:F,1,0)</f>
        <v>Sequencial identificador do órgão.</v>
      </c>
    </row>
    <row r="5" spans="1:12" ht="15.75" thickBot="1" x14ac:dyDescent="0.3">
      <c r="A5" s="6" t="s">
        <v>13</v>
      </c>
      <c r="B5" s="5" t="s">
        <v>14</v>
      </c>
      <c r="C5" s="5" t="s">
        <v>15</v>
      </c>
      <c r="D5" s="5" t="s">
        <v>10</v>
      </c>
      <c r="E5" s="5" t="s">
        <v>11</v>
      </c>
      <c r="F5" s="7" t="s">
        <v>16</v>
      </c>
      <c r="G5" t="e">
        <f>VLOOKUP(B5,liquidacao!B:B,1,0)</f>
        <v>#N/A</v>
      </c>
      <c r="H5" t="e">
        <f>VLOOKUP(B5,'desp pag'!B:B,1,0)</f>
        <v>#N/A</v>
      </c>
      <c r="K5" t="e">
        <f>VLOOKUP(F5,liquidacao!F:F,1,0)</f>
        <v>#N/A</v>
      </c>
      <c r="L5" t="e">
        <f>VLOOKUP(F5,'desp pag'!F:F,1,0)</f>
        <v>#N/A</v>
      </c>
    </row>
    <row r="6" spans="1:12" ht="15.75" thickBot="1" x14ac:dyDescent="0.3">
      <c r="A6" s="6" t="s">
        <v>17</v>
      </c>
      <c r="B6" s="5" t="s">
        <v>18</v>
      </c>
      <c r="C6" s="5" t="s">
        <v>9</v>
      </c>
      <c r="D6" s="5" t="s">
        <v>19</v>
      </c>
      <c r="E6" s="5" t="s">
        <v>11</v>
      </c>
      <c r="F6" s="7" t="s">
        <v>20</v>
      </c>
      <c r="G6" t="str">
        <f>VLOOKUP(B6,liquidacao!B:B,1,0)</f>
        <v>seq_unidade</v>
      </c>
      <c r="H6" t="str">
        <f>VLOOKUP(B6,'desp pag'!B:B,1,0)</f>
        <v>seq_unidade</v>
      </c>
      <c r="K6" t="e">
        <f>VLOOKUP(F6,liquidacao!F:F,1,0)</f>
        <v>#N/A</v>
      </c>
      <c r="L6" t="e">
        <f>VLOOKUP(F6,'desp pag'!F:F,1,0)</f>
        <v>#N/A</v>
      </c>
    </row>
    <row r="7" spans="1:12" ht="15.75" thickBot="1" x14ac:dyDescent="0.3">
      <c r="A7" s="6" t="s">
        <v>21</v>
      </c>
      <c r="B7" s="5" t="s">
        <v>22</v>
      </c>
      <c r="C7" s="5">
        <v>5</v>
      </c>
      <c r="D7" s="5" t="s">
        <v>19</v>
      </c>
      <c r="E7" s="5" t="s">
        <v>11</v>
      </c>
      <c r="F7" s="7" t="s">
        <v>23</v>
      </c>
      <c r="G7" t="e">
        <f>VLOOKUP(B7,liquidacao!B:B,1,0)</f>
        <v>#N/A</v>
      </c>
      <c r="H7" t="e">
        <f>VLOOKUP(B7,'desp pag'!B:B,1,0)</f>
        <v>#N/A</v>
      </c>
      <c r="K7" t="e">
        <f>VLOOKUP(F7,liquidacao!F:F,1,0)</f>
        <v>#N/A</v>
      </c>
      <c r="L7" t="e">
        <f>VLOOKUP(F7,'desp pag'!F:F,1,0)</f>
        <v>#N/A</v>
      </c>
    </row>
    <row r="8" spans="1:12" ht="15.75" thickBot="1" x14ac:dyDescent="0.3">
      <c r="A8" s="6" t="s">
        <v>24</v>
      </c>
      <c r="B8" s="5" t="s">
        <v>25</v>
      </c>
      <c r="C8" s="5">
        <v>3</v>
      </c>
      <c r="D8" s="5" t="s">
        <v>19</v>
      </c>
      <c r="E8" s="5" t="s">
        <v>11</v>
      </c>
      <c r="F8" s="7" t="s">
        <v>26</v>
      </c>
      <c r="G8" t="e">
        <f>VLOOKUP(B8,liquidacao!B:B,1,0)</f>
        <v>#N/A</v>
      </c>
      <c r="H8" t="e">
        <f>VLOOKUP(B8,'desp pag'!B:B,1,0)</f>
        <v>#N/A</v>
      </c>
      <c r="K8" t="e">
        <f>VLOOKUP(F8,liquidacao!F:F,1,0)</f>
        <v>#N/A</v>
      </c>
      <c r="L8" t="e">
        <f>VLOOKUP(F8,'desp pag'!F:F,1,0)</f>
        <v>#N/A</v>
      </c>
    </row>
    <row r="9" spans="1:12" ht="15.75" thickBot="1" x14ac:dyDescent="0.3">
      <c r="A9" s="6" t="s">
        <v>27</v>
      </c>
      <c r="B9" s="5" t="s">
        <v>28</v>
      </c>
      <c r="C9" s="5" t="s">
        <v>29</v>
      </c>
      <c r="D9" s="5" t="s">
        <v>10</v>
      </c>
      <c r="E9" s="5" t="s">
        <v>11</v>
      </c>
      <c r="F9" s="5" t="s">
        <v>30</v>
      </c>
      <c r="G9" t="e">
        <f>VLOOKUP(B9,liquidacao!B:B,1,0)</f>
        <v>#N/A</v>
      </c>
      <c r="H9" t="e">
        <f>VLOOKUP(B9,'desp pag'!B:B,1,0)</f>
        <v>#N/A</v>
      </c>
      <c r="K9" t="e">
        <f>VLOOKUP(F9,liquidacao!F:F,1,0)</f>
        <v>#N/A</v>
      </c>
      <c r="L9" t="e">
        <f>VLOOKUP(F9,'desp pag'!F:F,1,0)</f>
        <v>#N/A</v>
      </c>
    </row>
    <row r="10" spans="1:12" ht="15.75" thickBot="1" x14ac:dyDescent="0.3">
      <c r="A10" s="6" t="s">
        <v>31</v>
      </c>
      <c r="B10" s="5" t="s">
        <v>32</v>
      </c>
      <c r="C10" s="5">
        <v>2</v>
      </c>
      <c r="D10" s="5" t="s">
        <v>10</v>
      </c>
      <c r="E10" s="5" t="s">
        <v>11</v>
      </c>
      <c r="F10" s="5" t="s">
        <v>33</v>
      </c>
      <c r="G10" t="e">
        <f>VLOOKUP(B10,liquidacao!B:B,1,0)</f>
        <v>#N/A</v>
      </c>
      <c r="H10" t="e">
        <f>VLOOKUP(B10,'desp pag'!B:B,1,0)</f>
        <v>#N/A</v>
      </c>
      <c r="K10" t="e">
        <f>VLOOKUP(F10,liquidacao!F:F,1,0)</f>
        <v>#N/A</v>
      </c>
      <c r="L10" t="e">
        <f>VLOOKUP(F10,'desp pag'!F:F,1,0)</f>
        <v>#N/A</v>
      </c>
    </row>
    <row r="11" spans="1:12" ht="15.75" thickBot="1" x14ac:dyDescent="0.3">
      <c r="A11" s="36" t="s">
        <v>34</v>
      </c>
      <c r="B11" s="37" t="s">
        <v>35</v>
      </c>
      <c r="C11" s="37">
        <v>60</v>
      </c>
      <c r="D11" s="37" t="s">
        <v>19</v>
      </c>
      <c r="E11" s="37" t="s">
        <v>11</v>
      </c>
      <c r="F11" s="37" t="s">
        <v>36</v>
      </c>
      <c r="G11" t="e">
        <f>VLOOKUP(B11,liquidacao!B:B,1,0)</f>
        <v>#N/A</v>
      </c>
      <c r="H11" t="e">
        <f>VLOOKUP(B11,'desp pag'!B:B,1,0)</f>
        <v>#N/A</v>
      </c>
      <c r="K11" t="e">
        <f>VLOOKUP(F11,liquidacao!F:F,1,0)</f>
        <v>#N/A</v>
      </c>
      <c r="L11" t="e">
        <f>VLOOKUP(F11,'desp pag'!F:F,1,0)</f>
        <v>#N/A</v>
      </c>
    </row>
    <row r="12" spans="1:12" ht="15.75" thickBot="1" x14ac:dyDescent="0.3">
      <c r="A12" s="36" t="s">
        <v>37</v>
      </c>
      <c r="B12" s="37" t="s">
        <v>38</v>
      </c>
      <c r="C12" s="37">
        <v>60</v>
      </c>
      <c r="D12" s="37" t="s">
        <v>19</v>
      </c>
      <c r="E12" s="37" t="s">
        <v>11</v>
      </c>
      <c r="F12" s="37" t="s">
        <v>39</v>
      </c>
      <c r="G12" t="e">
        <f>VLOOKUP(B12,liquidacao!B:B,1,0)</f>
        <v>#N/A</v>
      </c>
      <c r="H12" t="e">
        <f>VLOOKUP(B12,'desp pag'!B:B,1,0)</f>
        <v>#N/A</v>
      </c>
      <c r="K12" t="e">
        <f>VLOOKUP(F12,liquidacao!F:F,1,0)</f>
        <v>#N/A</v>
      </c>
      <c r="L12" t="e">
        <f>VLOOKUP(F12,'desp pag'!F:F,1,0)</f>
        <v>#N/A</v>
      </c>
    </row>
    <row r="13" spans="1:12" ht="15.75" thickBot="1" x14ac:dyDescent="0.3">
      <c r="A13" s="36" t="s">
        <v>40</v>
      </c>
      <c r="B13" s="37" t="s">
        <v>41</v>
      </c>
      <c r="C13" s="37">
        <v>210</v>
      </c>
      <c r="D13" s="37" t="s">
        <v>19</v>
      </c>
      <c r="E13" s="37" t="s">
        <v>11</v>
      </c>
      <c r="F13" s="38" t="s">
        <v>42</v>
      </c>
      <c r="G13" t="e">
        <f>VLOOKUP(B13,liquidacao!B:B,1,0)</f>
        <v>#N/A</v>
      </c>
      <c r="H13" t="e">
        <f>VLOOKUP(B13,'desp pag'!B:B,1,0)</f>
        <v>#N/A</v>
      </c>
      <c r="K13" t="e">
        <f>VLOOKUP(F13,liquidacao!F:F,1,0)</f>
        <v>#N/A</v>
      </c>
      <c r="L13" t="e">
        <f>VLOOKUP(F13,'desp pag'!F:F,1,0)</f>
        <v>#N/A</v>
      </c>
    </row>
    <row r="14" spans="1:12" ht="15.75" thickBot="1" x14ac:dyDescent="0.3">
      <c r="A14" s="6" t="s">
        <v>43</v>
      </c>
      <c r="B14" s="5" t="s">
        <v>44</v>
      </c>
      <c r="C14" s="5">
        <v>210</v>
      </c>
      <c r="D14" s="5" t="s">
        <v>19</v>
      </c>
      <c r="E14" s="5" t="s">
        <v>11</v>
      </c>
      <c r="F14" s="8" t="s">
        <v>45</v>
      </c>
      <c r="G14" t="e">
        <f>VLOOKUP(B14,liquidacao!B:B,1,0)</f>
        <v>#N/A</v>
      </c>
      <c r="H14" t="e">
        <f>VLOOKUP(B14,'desp pag'!B:B,1,0)</f>
        <v>#N/A</v>
      </c>
      <c r="K14" t="e">
        <f>VLOOKUP(F14,liquidacao!F:F,1,0)</f>
        <v>#N/A</v>
      </c>
      <c r="L14" t="e">
        <f>VLOOKUP(F14,'desp pag'!F:F,1,0)</f>
        <v>#N/A</v>
      </c>
    </row>
    <row r="15" spans="1:12" ht="15.75" thickBot="1" x14ac:dyDescent="0.3">
      <c r="A15" s="6" t="s">
        <v>46</v>
      </c>
      <c r="B15" s="5" t="s">
        <v>47</v>
      </c>
      <c r="C15" s="5">
        <v>210</v>
      </c>
      <c r="D15" s="5" t="s">
        <v>19</v>
      </c>
      <c r="E15" s="5" t="s">
        <v>11</v>
      </c>
      <c r="F15" s="8" t="s">
        <v>48</v>
      </c>
      <c r="G15" t="e">
        <f>VLOOKUP(B15,liquidacao!B:B,1,0)</f>
        <v>#N/A</v>
      </c>
      <c r="H15" t="e">
        <f>VLOOKUP(B15,'desp pag'!B:B,1,0)</f>
        <v>#N/A</v>
      </c>
      <c r="K15" t="e">
        <f>VLOOKUP(F15,liquidacao!F:F,1,0)</f>
        <v>#N/A</v>
      </c>
      <c r="L15" t="e">
        <f>VLOOKUP(F15,'desp pag'!F:F,1,0)</f>
        <v>#N/A</v>
      </c>
    </row>
    <row r="16" spans="1:12" ht="26.25" thickBot="1" x14ac:dyDescent="0.3">
      <c r="A16" s="6" t="s">
        <v>49</v>
      </c>
      <c r="B16" s="5" t="s">
        <v>50</v>
      </c>
      <c r="C16" s="5">
        <v>2000</v>
      </c>
      <c r="D16" s="5" t="s">
        <v>19</v>
      </c>
      <c r="E16" s="5" t="s">
        <v>11</v>
      </c>
      <c r="F16" s="8" t="s">
        <v>51</v>
      </c>
      <c r="G16" t="e">
        <f>VLOOKUP(B16,liquidacao!B:B,1,0)</f>
        <v>#N/A</v>
      </c>
      <c r="H16" t="e">
        <f>VLOOKUP(B16,'desp pag'!B:B,1,0)</f>
        <v>#N/A</v>
      </c>
      <c r="K16" t="e">
        <f>VLOOKUP(F16,liquidacao!F:F,1,0)</f>
        <v>#N/A</v>
      </c>
      <c r="L16" t="e">
        <f>VLOOKUP(F16,'desp pag'!F:F,1,0)</f>
        <v>#N/A</v>
      </c>
    </row>
    <row r="17" spans="1:12" ht="26.25" thickBot="1" x14ac:dyDescent="0.3">
      <c r="A17" s="6" t="s">
        <v>52</v>
      </c>
      <c r="B17" s="5" t="s">
        <v>53</v>
      </c>
      <c r="C17" s="5">
        <v>210</v>
      </c>
      <c r="D17" s="5" t="s">
        <v>19</v>
      </c>
      <c r="E17" s="5" t="s">
        <v>11</v>
      </c>
      <c r="F17" s="8" t="s">
        <v>54</v>
      </c>
      <c r="G17" t="e">
        <f>VLOOKUP(B17,liquidacao!B:B,1,0)</f>
        <v>#N/A</v>
      </c>
      <c r="H17" t="e">
        <f>VLOOKUP(B17,'desp pag'!B:B,1,0)</f>
        <v>#N/A</v>
      </c>
      <c r="K17" t="e">
        <f>VLOOKUP(F17,liquidacao!F:F,1,0)</f>
        <v>#N/A</v>
      </c>
      <c r="L17" t="e">
        <f>VLOOKUP(F17,'desp pag'!F:F,1,0)</f>
        <v>#N/A</v>
      </c>
    </row>
    <row r="18" spans="1:12" ht="26.25" thickBot="1" x14ac:dyDescent="0.3">
      <c r="A18" s="6" t="s">
        <v>55</v>
      </c>
      <c r="B18" s="5" t="s">
        <v>56</v>
      </c>
      <c r="C18" s="5">
        <v>210</v>
      </c>
      <c r="D18" s="5" t="s">
        <v>19</v>
      </c>
      <c r="E18" s="5" t="s">
        <v>11</v>
      </c>
      <c r="F18" s="8" t="s">
        <v>57</v>
      </c>
      <c r="G18" t="e">
        <f>VLOOKUP(B18,liquidacao!B:B,1,0)</f>
        <v>#N/A</v>
      </c>
      <c r="H18" t="e">
        <f>VLOOKUP(B18,'desp pag'!B:B,1,0)</f>
        <v>#N/A</v>
      </c>
      <c r="K18" t="e">
        <f>VLOOKUP(F18,liquidacao!F:F,1,0)</f>
        <v>#N/A</v>
      </c>
      <c r="L18" t="e">
        <f>VLOOKUP(F18,'desp pag'!F:F,1,0)</f>
        <v>#N/A</v>
      </c>
    </row>
    <row r="19" spans="1:12" ht="15.75" thickBot="1" x14ac:dyDescent="0.3">
      <c r="A19" s="6" t="s">
        <v>58</v>
      </c>
      <c r="B19" s="5" t="s">
        <v>59</v>
      </c>
      <c r="C19" s="5">
        <v>14</v>
      </c>
      <c r="D19" s="5" t="s">
        <v>10</v>
      </c>
      <c r="E19" s="5" t="s">
        <v>11</v>
      </c>
      <c r="F19" s="8" t="s">
        <v>60</v>
      </c>
      <c r="G19" t="e">
        <f>VLOOKUP(B19,liquidacao!B:B,1,0)</f>
        <v>#N/A</v>
      </c>
      <c r="H19" t="e">
        <f>VLOOKUP(B19,'desp pag'!B:B,1,0)</f>
        <v>#N/A</v>
      </c>
      <c r="K19" t="e">
        <f>VLOOKUP(F19,liquidacao!F:F,1,0)</f>
        <v>#N/A</v>
      </c>
      <c r="L19" t="e">
        <f>VLOOKUP(F19,'desp pag'!F:F,1,0)</f>
        <v>#N/A</v>
      </c>
    </row>
    <row r="20" spans="1:12" ht="15.75" thickBot="1" x14ac:dyDescent="0.3">
      <c r="A20" s="6" t="s">
        <v>61</v>
      </c>
      <c r="B20" s="5" t="s">
        <v>62</v>
      </c>
      <c r="C20" s="5">
        <v>14</v>
      </c>
      <c r="D20" s="5" t="s">
        <v>10</v>
      </c>
      <c r="E20" s="5" t="s">
        <v>11</v>
      </c>
      <c r="F20" s="8" t="s">
        <v>63</v>
      </c>
      <c r="G20" t="e">
        <f>VLOOKUP(B20,liquidacao!B:B,1,0)</f>
        <v>#N/A</v>
      </c>
      <c r="H20" t="e">
        <f>VLOOKUP(B20,'desp pag'!B:B,1,0)</f>
        <v>#N/A</v>
      </c>
      <c r="K20" t="e">
        <f>VLOOKUP(F20,liquidacao!F:F,1,0)</f>
        <v>#N/A</v>
      </c>
      <c r="L20" t="e">
        <f>VLOOKUP(F20,'desp pag'!F:F,1,0)</f>
        <v>#N/A</v>
      </c>
    </row>
    <row r="21" spans="1:12" ht="26.25" thickBot="1" x14ac:dyDescent="0.3">
      <c r="A21" s="6" t="s">
        <v>64</v>
      </c>
      <c r="B21" s="5" t="s">
        <v>65</v>
      </c>
      <c r="C21" s="5">
        <v>14</v>
      </c>
      <c r="D21" s="5" t="s">
        <v>10</v>
      </c>
      <c r="E21" s="5" t="s">
        <v>11</v>
      </c>
      <c r="F21" s="8" t="s">
        <v>66</v>
      </c>
      <c r="G21" t="e">
        <f>VLOOKUP(B21,liquidacao!B:B,1,0)</f>
        <v>#N/A</v>
      </c>
      <c r="H21" t="e">
        <f>VLOOKUP(B21,'desp pag'!B:B,1,0)</f>
        <v>#N/A</v>
      </c>
      <c r="K21" t="e">
        <f>VLOOKUP(F21,liquidacao!F:F,1,0)</f>
        <v>#N/A</v>
      </c>
      <c r="L21" t="e">
        <f>VLOOKUP(F21,'desp pag'!F:F,1,0)</f>
        <v>#N/A</v>
      </c>
    </row>
    <row r="22" spans="1:12" ht="15.75" thickBot="1" x14ac:dyDescent="0.3">
      <c r="A22" s="6" t="s">
        <v>67</v>
      </c>
      <c r="B22" s="5" t="s">
        <v>68</v>
      </c>
      <c r="C22" s="5">
        <v>14</v>
      </c>
      <c r="D22" s="5" t="s">
        <v>10</v>
      </c>
      <c r="E22" s="5" t="s">
        <v>11</v>
      </c>
      <c r="F22" s="8" t="s">
        <v>69</v>
      </c>
      <c r="G22" t="e">
        <f>VLOOKUP(B22,liquidacao!B:B,1,0)</f>
        <v>#N/A</v>
      </c>
      <c r="H22" t="e">
        <f>VLOOKUP(B22,'desp pag'!B:B,1,0)</f>
        <v>#N/A</v>
      </c>
      <c r="K22" t="e">
        <f>VLOOKUP(F22,liquidacao!F:F,1,0)</f>
        <v>#N/A</v>
      </c>
      <c r="L22" t="e">
        <f>VLOOKUP(F22,'desp pag'!F:F,1,0)</f>
        <v>#N/A</v>
      </c>
    </row>
    <row r="23" spans="1:12" ht="15.75" thickBot="1" x14ac:dyDescent="0.3">
      <c r="A23" s="6" t="s">
        <v>70</v>
      </c>
      <c r="B23" s="5" t="s">
        <v>71</v>
      </c>
      <c r="C23" s="5">
        <v>14</v>
      </c>
      <c r="D23" s="5" t="s">
        <v>10</v>
      </c>
      <c r="E23" s="5" t="s">
        <v>11</v>
      </c>
      <c r="F23" s="8" t="s">
        <v>72</v>
      </c>
      <c r="G23" t="e">
        <f>VLOOKUP(B23,liquidacao!B:B,1,0)</f>
        <v>#N/A</v>
      </c>
      <c r="H23" t="e">
        <f>VLOOKUP(B23,'desp pag'!B:B,1,0)</f>
        <v>#N/A</v>
      </c>
      <c r="K23" t="e">
        <f>VLOOKUP(F23,liquidacao!F:F,1,0)</f>
        <v>#N/A</v>
      </c>
      <c r="L23" t="e">
        <f>VLOOKUP(F23,'desp pag'!F:F,1,0)</f>
        <v>#N/A</v>
      </c>
    </row>
    <row r="24" spans="1:12" ht="15.75" thickBot="1" x14ac:dyDescent="0.3">
      <c r="A24" s="6" t="s">
        <v>73</v>
      </c>
      <c r="B24" s="5" t="s">
        <v>74</v>
      </c>
      <c r="C24" s="5">
        <v>14</v>
      </c>
      <c r="D24" s="5" t="s">
        <v>10</v>
      </c>
      <c r="E24" s="5" t="s">
        <v>11</v>
      </c>
      <c r="F24" s="8" t="s">
        <v>75</v>
      </c>
      <c r="G24" t="e">
        <f>VLOOKUP(B24,liquidacao!B:B,1,0)</f>
        <v>#N/A</v>
      </c>
      <c r="H24" t="e">
        <f>VLOOKUP(B24,'desp pag'!B:B,1,0)</f>
        <v>#N/A</v>
      </c>
      <c r="K24" t="e">
        <f>VLOOKUP(F24,liquidacao!F:F,1,0)</f>
        <v>#N/A</v>
      </c>
      <c r="L24" t="e">
        <f>VLOOKUP(F24,'desp pag'!F:F,1,0)</f>
        <v>#N/A</v>
      </c>
    </row>
    <row r="25" spans="1:12" ht="26.25" thickBot="1" x14ac:dyDescent="0.3">
      <c r="A25" s="6" t="s">
        <v>76</v>
      </c>
      <c r="B25" s="5" t="s">
        <v>77</v>
      </c>
      <c r="C25" s="5">
        <v>14</v>
      </c>
      <c r="D25" s="5" t="s">
        <v>10</v>
      </c>
      <c r="E25" s="5" t="s">
        <v>11</v>
      </c>
      <c r="F25" s="8" t="s">
        <v>78</v>
      </c>
      <c r="G25" t="e">
        <f>VLOOKUP(B25,liquidacao!B:B,1,0)</f>
        <v>#N/A</v>
      </c>
      <c r="H25" t="e">
        <f>VLOOKUP(B25,'desp pag'!B:B,1,0)</f>
        <v>#N/A</v>
      </c>
      <c r="K25" t="e">
        <f>VLOOKUP(F25,liquidacao!F:F,1,0)</f>
        <v>#N/A</v>
      </c>
      <c r="L25" t="e">
        <f>VLOOKUP(F25,'desp pag'!F:F,1,0)</f>
        <v>#N/A</v>
      </c>
    </row>
    <row r="26" spans="1:12" ht="26.25" thickBot="1" x14ac:dyDescent="0.3">
      <c r="A26" s="6" t="s">
        <v>79</v>
      </c>
      <c r="B26" s="5" t="s">
        <v>80</v>
      </c>
      <c r="C26" s="5">
        <v>14</v>
      </c>
      <c r="D26" s="5" t="s">
        <v>10</v>
      </c>
      <c r="E26" s="5" t="s">
        <v>11</v>
      </c>
      <c r="F26" s="8" t="s">
        <v>81</v>
      </c>
      <c r="G26" t="e">
        <f>VLOOKUP(B26,liquidacao!B:B,1,0)</f>
        <v>#N/A</v>
      </c>
      <c r="H26" t="e">
        <f>VLOOKUP(B26,'desp pag'!B:B,1,0)</f>
        <v>#N/A</v>
      </c>
      <c r="K26" t="e">
        <f>VLOOKUP(F26,liquidacao!F:F,1,0)</f>
        <v>#N/A</v>
      </c>
      <c r="L26" t="e">
        <f>VLOOKUP(F26,'desp pag'!F:F,1,0)</f>
        <v>#N/A</v>
      </c>
    </row>
    <row r="27" spans="1:12" ht="15.75" thickBot="1" x14ac:dyDescent="0.3">
      <c r="A27" s="6" t="s">
        <v>82</v>
      </c>
      <c r="B27" s="5" t="s">
        <v>83</v>
      </c>
      <c r="C27" s="5">
        <v>3</v>
      </c>
      <c r="D27" s="5" t="s">
        <v>19</v>
      </c>
      <c r="E27" s="5" t="s">
        <v>11</v>
      </c>
      <c r="F27" s="8" t="s">
        <v>84</v>
      </c>
      <c r="G27" t="str">
        <f>VLOOKUP(B27,liquidacao!B:B,1,0)</f>
        <v>num_versaoarq</v>
      </c>
      <c r="H27" t="str">
        <f>VLOOKUP(B27,'desp pag'!B:B,1,0)</f>
        <v>num_versaoarq</v>
      </c>
      <c r="K27" t="str">
        <f>VLOOKUP(F27,liquidacao!F:F,1,0)</f>
        <v>Corresponde quanto a versão do arquivo</v>
      </c>
      <c r="L27" t="str">
        <f>VLOOKUP(F27,'desp pag'!F:F,1,0)</f>
        <v>Corresponde quanto a versão do arquivo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0F56A-D7E3-49F9-9B31-BB9268847B0D}">
  <dimension ref="A1:H18"/>
  <sheetViews>
    <sheetView workbookViewId="0">
      <selection activeCell="G17" sqref="G17"/>
    </sheetView>
  </sheetViews>
  <sheetFormatPr defaultRowHeight="15" x14ac:dyDescent="0.25"/>
  <cols>
    <col min="2" max="2" width="22.140625" customWidth="1"/>
    <col min="3" max="3" width="19.140625" customWidth="1"/>
    <col min="4" max="4" width="14.7109375" customWidth="1"/>
    <col min="6" max="6" width="52.42578125" customWidth="1"/>
    <col min="7" max="7" width="23.85546875" customWidth="1"/>
  </cols>
  <sheetData>
    <row r="1" spans="1:8" ht="15.75" thickBot="1" x14ac:dyDescent="0.3">
      <c r="A1" s="28" t="s">
        <v>85</v>
      </c>
      <c r="B1" s="29"/>
      <c r="C1" s="29"/>
      <c r="D1" s="29"/>
      <c r="E1" s="29"/>
      <c r="F1" s="30"/>
      <c r="G1" s="39"/>
    </row>
    <row r="2" spans="1:8" ht="15.75" thickBot="1" x14ac:dyDescent="0.3">
      <c r="A2" s="9" t="s">
        <v>86</v>
      </c>
      <c r="B2" s="10"/>
      <c r="C2" s="10"/>
      <c r="D2" s="10"/>
      <c r="E2" s="10"/>
      <c r="F2" s="11"/>
    </row>
    <row r="3" spans="1:8" ht="26.25" thickBot="1" x14ac:dyDescent="0.3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39" t="s">
        <v>170</v>
      </c>
    </row>
    <row r="4" spans="1:8" ht="15.75" thickBot="1" x14ac:dyDescent="0.3">
      <c r="A4" s="25"/>
      <c r="B4" s="26" t="s">
        <v>87</v>
      </c>
      <c r="C4" s="31"/>
      <c r="D4" s="27" t="s">
        <v>10</v>
      </c>
      <c r="E4" s="27" t="s">
        <v>11</v>
      </c>
      <c r="F4" s="27" t="s">
        <v>88</v>
      </c>
      <c r="G4" t="str">
        <f>VLOOKUP(B4,'desp pag'!B:B,1,0)</f>
        <v>seq_liquidacao</v>
      </c>
    </row>
    <row r="5" spans="1:8" ht="15.75" thickBot="1" x14ac:dyDescent="0.3">
      <c r="A5" s="32" t="s">
        <v>13</v>
      </c>
      <c r="B5" s="33" t="s">
        <v>8</v>
      </c>
      <c r="C5" s="34"/>
      <c r="D5" s="34" t="s">
        <v>10</v>
      </c>
      <c r="E5" s="34" t="s">
        <v>11</v>
      </c>
      <c r="F5" s="35" t="s">
        <v>89</v>
      </c>
      <c r="G5" t="str">
        <f>VLOOKUP(B5,'desp pag'!B:B,1,0)</f>
        <v>seq_orgao</v>
      </c>
    </row>
    <row r="6" spans="1:8" ht="15.75" thickBot="1" x14ac:dyDescent="0.3">
      <c r="A6" s="6" t="s">
        <v>17</v>
      </c>
      <c r="B6" s="5" t="s">
        <v>18</v>
      </c>
      <c r="C6" s="5"/>
      <c r="D6" s="5" t="s">
        <v>10</v>
      </c>
      <c r="E6" s="14" t="s">
        <v>11</v>
      </c>
      <c r="F6" s="15" t="s">
        <v>90</v>
      </c>
      <c r="G6" t="str">
        <f>VLOOKUP(B6,'desp pag'!B:B,1,0)</f>
        <v>seq_unidade</v>
      </c>
    </row>
    <row r="7" spans="1:8" ht="15.75" thickBot="1" x14ac:dyDescent="0.3">
      <c r="A7" s="32" t="s">
        <v>21</v>
      </c>
      <c r="B7" s="34" t="s">
        <v>91</v>
      </c>
      <c r="C7" s="34"/>
      <c r="D7" s="34" t="s">
        <v>10</v>
      </c>
      <c r="E7" s="34" t="s">
        <v>11</v>
      </c>
      <c r="F7" s="34" t="s">
        <v>92</v>
      </c>
      <c r="G7" t="str">
        <f>VLOOKUP(B7,'desp pag'!B:B,1,0)</f>
        <v>seq_empenho</v>
      </c>
    </row>
    <row r="8" spans="1:8" ht="15.75" thickBot="1" x14ac:dyDescent="0.3">
      <c r="A8" s="6" t="s">
        <v>24</v>
      </c>
      <c r="B8" s="5" t="s">
        <v>93</v>
      </c>
      <c r="C8" s="5"/>
      <c r="D8" s="5" t="s">
        <v>10</v>
      </c>
      <c r="E8" s="5" t="s">
        <v>11</v>
      </c>
      <c r="F8" s="5" t="s">
        <v>94</v>
      </c>
      <c r="G8" t="str">
        <f>VLOOKUP(B8,'desp pag'!B:B,1,0)</f>
        <v>seq_rsp</v>
      </c>
    </row>
    <row r="9" spans="1:8" ht="15.75" thickBot="1" x14ac:dyDescent="0.3">
      <c r="A9" s="6" t="s">
        <v>27</v>
      </c>
      <c r="B9" s="5" t="s">
        <v>95</v>
      </c>
      <c r="C9" s="5" t="s">
        <v>29</v>
      </c>
      <c r="D9" s="5" t="s">
        <v>10</v>
      </c>
      <c r="E9" s="5" t="s">
        <v>11</v>
      </c>
      <c r="F9" s="5" t="s">
        <v>96</v>
      </c>
      <c r="G9" t="str">
        <f>VLOOKUP(B9,'desp pag'!B:B,1,0)</f>
        <v>num_ano_referencia</v>
      </c>
    </row>
    <row r="10" spans="1:8" ht="15.75" thickBot="1" x14ac:dyDescent="0.3">
      <c r="A10" s="6" t="s">
        <v>31</v>
      </c>
      <c r="B10" s="5" t="s">
        <v>97</v>
      </c>
      <c r="C10" s="5">
        <v>2</v>
      </c>
      <c r="D10" s="5" t="s">
        <v>10</v>
      </c>
      <c r="E10" s="5" t="s">
        <v>11</v>
      </c>
      <c r="F10" s="5" t="s">
        <v>98</v>
      </c>
      <c r="G10" t="str">
        <f>VLOOKUP(B10,'desp pag'!B:B,1,0)</f>
        <v>num_mes_referencia</v>
      </c>
    </row>
    <row r="11" spans="1:8" ht="15.75" thickBot="1" x14ac:dyDescent="0.3">
      <c r="A11" s="6" t="s">
        <v>34</v>
      </c>
      <c r="B11" s="5" t="s">
        <v>99</v>
      </c>
      <c r="C11" s="5">
        <v>22</v>
      </c>
      <c r="D11" s="5" t="s">
        <v>10</v>
      </c>
      <c r="E11" s="5" t="s">
        <v>11</v>
      </c>
      <c r="F11" s="8" t="s">
        <v>100</v>
      </c>
      <c r="G11" t="str">
        <f>VLOOKUP(B11,'desp pag'!B:B,1,0)</f>
        <v>num_liquidacao</v>
      </c>
    </row>
    <row r="12" spans="1:8" ht="15.75" thickBot="1" x14ac:dyDescent="0.3">
      <c r="A12" s="6" t="s">
        <v>37</v>
      </c>
      <c r="B12" s="5" t="s">
        <v>101</v>
      </c>
      <c r="C12" s="5">
        <v>8</v>
      </c>
      <c r="D12" s="5" t="s">
        <v>102</v>
      </c>
      <c r="E12" s="5" t="s">
        <v>11</v>
      </c>
      <c r="F12" s="8" t="s">
        <v>103</v>
      </c>
      <c r="G12" t="str">
        <f>VLOOKUP(B12,'desp pag'!B:B,1,0)</f>
        <v>dat_liquidacao</v>
      </c>
    </row>
    <row r="13" spans="1:8" ht="15.75" thickBot="1" x14ac:dyDescent="0.3">
      <c r="A13" s="6" t="s">
        <v>40</v>
      </c>
      <c r="B13" s="5" t="s">
        <v>104</v>
      </c>
      <c r="C13" s="5">
        <v>100</v>
      </c>
      <c r="D13" s="5" t="s">
        <v>19</v>
      </c>
      <c r="E13" s="5" t="s">
        <v>11</v>
      </c>
      <c r="F13" s="8" t="s">
        <v>105</v>
      </c>
      <c r="G13" t="e">
        <f>VLOOKUP(B13,'desp pag'!B:B,1,0)</f>
        <v>#N/A</v>
      </c>
      <c r="H13" s="40" t="s">
        <v>171</v>
      </c>
    </row>
    <row r="14" spans="1:8" ht="15.75" thickBot="1" x14ac:dyDescent="0.3">
      <c r="A14" s="6" t="s">
        <v>43</v>
      </c>
      <c r="B14" s="5" t="s">
        <v>106</v>
      </c>
      <c r="C14" s="5">
        <v>11</v>
      </c>
      <c r="D14" s="5" t="s">
        <v>19</v>
      </c>
      <c r="E14" s="5" t="s">
        <v>11</v>
      </c>
      <c r="F14" s="8" t="s">
        <v>107</v>
      </c>
      <c r="G14" t="e">
        <f>VLOOKUP(B14,'desp pag'!B:B,1,0)</f>
        <v>#N/A</v>
      </c>
    </row>
    <row r="15" spans="1:8" ht="15.75" thickBot="1" x14ac:dyDescent="0.3">
      <c r="A15" s="6" t="s">
        <v>46</v>
      </c>
      <c r="B15" s="5" t="s">
        <v>108</v>
      </c>
      <c r="C15" s="5">
        <v>100</v>
      </c>
      <c r="D15" s="5" t="s">
        <v>19</v>
      </c>
      <c r="E15" s="5" t="s">
        <v>11</v>
      </c>
      <c r="F15" s="5" t="s">
        <v>109</v>
      </c>
      <c r="G15" t="e">
        <f>VLOOKUP(B15,'desp pag'!B:B,1,0)</f>
        <v>#N/A</v>
      </c>
    </row>
    <row r="16" spans="1:8" ht="15.75" thickBot="1" x14ac:dyDescent="0.3">
      <c r="A16" s="6" t="s">
        <v>49</v>
      </c>
      <c r="B16" s="5" t="s">
        <v>110</v>
      </c>
      <c r="C16" s="5">
        <v>14</v>
      </c>
      <c r="D16" s="5" t="s">
        <v>10</v>
      </c>
      <c r="E16" s="5" t="s">
        <v>11</v>
      </c>
      <c r="F16" s="8" t="s">
        <v>111</v>
      </c>
      <c r="G16" t="e">
        <f>VLOOKUP(B16,'desp pag'!B:B,1,0)</f>
        <v>#N/A</v>
      </c>
    </row>
    <row r="17" spans="1:7" ht="15.75" thickBot="1" x14ac:dyDescent="0.3">
      <c r="A17" s="6" t="s">
        <v>52</v>
      </c>
      <c r="B17" s="5" t="s">
        <v>112</v>
      </c>
      <c r="C17" s="5">
        <v>14</v>
      </c>
      <c r="D17" s="5" t="s">
        <v>10</v>
      </c>
      <c r="E17" s="5" t="s">
        <v>11</v>
      </c>
      <c r="F17" s="8" t="s">
        <v>113</v>
      </c>
      <c r="G17" t="e">
        <f>VLOOKUP(B17,'desp pag'!B:B,1,0)</f>
        <v>#N/A</v>
      </c>
    </row>
    <row r="18" spans="1:7" ht="15.75" thickBot="1" x14ac:dyDescent="0.3">
      <c r="A18" s="6" t="s">
        <v>55</v>
      </c>
      <c r="B18" s="5" t="s">
        <v>83</v>
      </c>
      <c r="C18" s="5">
        <v>3</v>
      </c>
      <c r="D18" s="5" t="s">
        <v>19</v>
      </c>
      <c r="E18" s="5" t="s">
        <v>11</v>
      </c>
      <c r="F18" s="8" t="s">
        <v>84</v>
      </c>
      <c r="G18" t="str">
        <f>VLOOKUP(B18,'desp pag'!B:B,1,0)</f>
        <v>num_versaoarq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C3132-3AF1-41BE-93B1-3333F24F5E40}">
  <dimension ref="A1:F38"/>
  <sheetViews>
    <sheetView tabSelected="1" topLeftCell="A3" workbookViewId="0">
      <selection activeCell="F22" sqref="F22"/>
    </sheetView>
  </sheetViews>
  <sheetFormatPr defaultRowHeight="15" x14ac:dyDescent="0.25"/>
  <cols>
    <col min="2" max="2" width="22.28515625" customWidth="1"/>
    <col min="3" max="3" width="20.5703125" customWidth="1"/>
    <col min="4" max="4" width="11.5703125" customWidth="1"/>
    <col min="6" max="6" width="48.28515625" customWidth="1"/>
  </cols>
  <sheetData>
    <row r="1" spans="1:6" ht="15.75" thickBot="1" x14ac:dyDescent="0.3">
      <c r="A1" s="9" t="s">
        <v>114</v>
      </c>
      <c r="B1" s="10"/>
      <c r="C1" s="10"/>
      <c r="D1" s="10"/>
      <c r="E1" s="10"/>
      <c r="F1" s="11"/>
    </row>
    <row r="2" spans="1:6" ht="15.75" thickBot="1" x14ac:dyDescent="0.3">
      <c r="A2" s="9" t="s">
        <v>115</v>
      </c>
      <c r="B2" s="10"/>
      <c r="C2" s="10"/>
      <c r="D2" s="10"/>
      <c r="E2" s="10"/>
      <c r="F2" s="11"/>
    </row>
    <row r="3" spans="1:6" ht="26.25" thickBot="1" x14ac:dyDescent="0.3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ht="15.75" thickBot="1" x14ac:dyDescent="0.3">
      <c r="A4" s="3"/>
      <c r="B4" s="4" t="s">
        <v>116</v>
      </c>
      <c r="C4" s="12"/>
      <c r="D4" s="5" t="s">
        <v>10</v>
      </c>
      <c r="E4" s="5" t="s">
        <v>11</v>
      </c>
      <c r="F4" s="5" t="s">
        <v>117</v>
      </c>
    </row>
    <row r="5" spans="1:6" ht="15.75" thickBot="1" x14ac:dyDescent="0.3">
      <c r="A5" s="6" t="s">
        <v>13</v>
      </c>
      <c r="B5" s="13" t="s">
        <v>8</v>
      </c>
      <c r="C5" s="5"/>
      <c r="D5" s="5" t="s">
        <v>10</v>
      </c>
      <c r="E5" s="5" t="s">
        <v>11</v>
      </c>
      <c r="F5" s="7" t="s">
        <v>12</v>
      </c>
    </row>
    <row r="6" spans="1:6" ht="15.75" thickBot="1" x14ac:dyDescent="0.3">
      <c r="A6" s="6" t="s">
        <v>17</v>
      </c>
      <c r="B6" s="5" t="s">
        <v>18</v>
      </c>
      <c r="C6" s="5"/>
      <c r="D6" s="5" t="s">
        <v>10</v>
      </c>
      <c r="E6" s="14" t="s">
        <v>11</v>
      </c>
      <c r="F6" s="15" t="s">
        <v>118</v>
      </c>
    </row>
    <row r="7" spans="1:6" ht="15.75" thickBot="1" x14ac:dyDescent="0.3">
      <c r="A7" s="6" t="s">
        <v>21</v>
      </c>
      <c r="B7" s="5" t="s">
        <v>91</v>
      </c>
      <c r="C7" s="5"/>
      <c r="D7" s="5" t="s">
        <v>10</v>
      </c>
      <c r="E7" s="5" t="s">
        <v>11</v>
      </c>
      <c r="F7" s="5" t="s">
        <v>92</v>
      </c>
    </row>
    <row r="8" spans="1:6" ht="15.75" thickBot="1" x14ac:dyDescent="0.3">
      <c r="A8" s="6" t="s">
        <v>24</v>
      </c>
      <c r="B8" s="5" t="s">
        <v>93</v>
      </c>
      <c r="C8" s="5"/>
      <c r="D8" s="5" t="s">
        <v>10</v>
      </c>
      <c r="E8" s="5" t="s">
        <v>11</v>
      </c>
      <c r="F8" s="5" t="s">
        <v>119</v>
      </c>
    </row>
    <row r="9" spans="1:6" ht="15.75" thickBot="1" x14ac:dyDescent="0.3">
      <c r="A9" s="6" t="s">
        <v>27</v>
      </c>
      <c r="B9" s="5" t="s">
        <v>87</v>
      </c>
      <c r="C9" s="5"/>
      <c r="D9" s="5" t="s">
        <v>10</v>
      </c>
      <c r="E9" s="5" t="s">
        <v>11</v>
      </c>
      <c r="F9" s="16" t="s">
        <v>88</v>
      </c>
    </row>
    <row r="10" spans="1:6" ht="26.25" thickBot="1" x14ac:dyDescent="0.3">
      <c r="A10" s="6" t="s">
        <v>31</v>
      </c>
      <c r="B10" s="5" t="s">
        <v>120</v>
      </c>
      <c r="C10" s="5"/>
      <c r="D10" s="5" t="s">
        <v>10</v>
      </c>
      <c r="E10" s="5" t="s">
        <v>11</v>
      </c>
      <c r="F10" s="8" t="s">
        <v>121</v>
      </c>
    </row>
    <row r="11" spans="1:6" ht="26.25" thickBot="1" x14ac:dyDescent="0.3">
      <c r="A11" s="6" t="s">
        <v>34</v>
      </c>
      <c r="B11" s="5" t="s">
        <v>122</v>
      </c>
      <c r="C11" s="5"/>
      <c r="D11" s="5" t="s">
        <v>10</v>
      </c>
      <c r="E11" s="5" t="s">
        <v>11</v>
      </c>
      <c r="F11" s="8" t="s">
        <v>123</v>
      </c>
    </row>
    <row r="12" spans="1:6" ht="15.75" thickBot="1" x14ac:dyDescent="0.3">
      <c r="A12" s="6" t="s">
        <v>37</v>
      </c>
      <c r="B12" s="5" t="s">
        <v>95</v>
      </c>
      <c r="C12" s="5" t="s">
        <v>29</v>
      </c>
      <c r="D12" s="5" t="s">
        <v>10</v>
      </c>
      <c r="E12" s="5" t="s">
        <v>11</v>
      </c>
      <c r="F12" s="8" t="s">
        <v>96</v>
      </c>
    </row>
    <row r="13" spans="1:6" ht="15.75" thickBot="1" x14ac:dyDescent="0.3">
      <c r="A13" s="6" t="s">
        <v>40</v>
      </c>
      <c r="B13" s="5" t="s">
        <v>97</v>
      </c>
      <c r="C13" s="5" t="s">
        <v>124</v>
      </c>
      <c r="D13" s="5" t="s">
        <v>10</v>
      </c>
      <c r="E13" s="5" t="s">
        <v>11</v>
      </c>
      <c r="F13" s="8" t="s">
        <v>98</v>
      </c>
    </row>
    <row r="14" spans="1:6" ht="15.75" thickBot="1" x14ac:dyDescent="0.3">
      <c r="A14" s="6" t="s">
        <v>43</v>
      </c>
      <c r="B14" s="5" t="s">
        <v>125</v>
      </c>
      <c r="C14" s="5" t="s">
        <v>126</v>
      </c>
      <c r="D14" s="5" t="s">
        <v>19</v>
      </c>
      <c r="E14" s="5" t="s">
        <v>11</v>
      </c>
      <c r="F14" s="8" t="s">
        <v>127</v>
      </c>
    </row>
    <row r="15" spans="1:6" ht="15.75" thickBot="1" x14ac:dyDescent="0.3">
      <c r="A15" s="6" t="s">
        <v>46</v>
      </c>
      <c r="B15" s="5" t="s">
        <v>128</v>
      </c>
      <c r="C15" s="5">
        <v>100</v>
      </c>
      <c r="D15" s="5" t="s">
        <v>19</v>
      </c>
      <c r="E15" s="5" t="s">
        <v>11</v>
      </c>
      <c r="F15" s="8" t="s">
        <v>129</v>
      </c>
    </row>
    <row r="16" spans="1:6" ht="15.75" thickBot="1" x14ac:dyDescent="0.3">
      <c r="A16" s="6" t="s">
        <v>49</v>
      </c>
      <c r="B16" s="5" t="s">
        <v>130</v>
      </c>
      <c r="C16" s="5">
        <v>14</v>
      </c>
      <c r="D16" s="5" t="s">
        <v>19</v>
      </c>
      <c r="E16" s="5" t="s">
        <v>11</v>
      </c>
      <c r="F16" s="8" t="s">
        <v>131</v>
      </c>
    </row>
    <row r="17" spans="1:6" ht="15.75" thickBot="1" x14ac:dyDescent="0.3">
      <c r="A17" s="6" t="s">
        <v>52</v>
      </c>
      <c r="B17" s="5" t="s">
        <v>132</v>
      </c>
      <c r="C17" s="5">
        <v>100</v>
      </c>
      <c r="D17" s="5" t="s">
        <v>19</v>
      </c>
      <c r="E17" s="5" t="s">
        <v>11</v>
      </c>
      <c r="F17" s="8" t="s">
        <v>133</v>
      </c>
    </row>
    <row r="18" spans="1:6" ht="15.75" thickBot="1" x14ac:dyDescent="0.3">
      <c r="A18" s="6" t="s">
        <v>55</v>
      </c>
      <c r="B18" s="5" t="s">
        <v>134</v>
      </c>
      <c r="C18" s="5">
        <v>22</v>
      </c>
      <c r="D18" s="5" t="s">
        <v>10</v>
      </c>
      <c r="E18" s="5" t="s">
        <v>11</v>
      </c>
      <c r="F18" s="8" t="s">
        <v>135</v>
      </c>
    </row>
    <row r="19" spans="1:6" ht="15.75" thickBot="1" x14ac:dyDescent="0.3">
      <c r="A19" s="6" t="s">
        <v>58</v>
      </c>
      <c r="B19" s="5" t="s">
        <v>136</v>
      </c>
      <c r="C19" s="5">
        <v>8</v>
      </c>
      <c r="D19" s="5" t="s">
        <v>102</v>
      </c>
      <c r="E19" s="5" t="s">
        <v>11</v>
      </c>
      <c r="F19" s="8" t="s">
        <v>137</v>
      </c>
    </row>
    <row r="20" spans="1:6" ht="15.75" thickBot="1" x14ac:dyDescent="0.3">
      <c r="A20" s="6" t="s">
        <v>61</v>
      </c>
      <c r="B20" s="5" t="s">
        <v>99</v>
      </c>
      <c r="C20" s="5">
        <v>22</v>
      </c>
      <c r="D20" s="5" t="s">
        <v>10</v>
      </c>
      <c r="E20" s="5" t="s">
        <v>11</v>
      </c>
      <c r="F20" s="8" t="s">
        <v>100</v>
      </c>
    </row>
    <row r="21" spans="1:6" ht="15.75" thickBot="1" x14ac:dyDescent="0.3">
      <c r="A21" s="6" t="s">
        <v>64</v>
      </c>
      <c r="B21" s="5" t="s">
        <v>101</v>
      </c>
      <c r="C21" s="5">
        <v>8</v>
      </c>
      <c r="D21" s="5" t="s">
        <v>102</v>
      </c>
      <c r="E21" s="5" t="s">
        <v>11</v>
      </c>
      <c r="F21" s="8" t="s">
        <v>103</v>
      </c>
    </row>
    <row r="22" spans="1:6" ht="15.75" thickBot="1" x14ac:dyDescent="0.3">
      <c r="A22" s="6" t="s">
        <v>67</v>
      </c>
      <c r="B22" s="5" t="s">
        <v>138</v>
      </c>
      <c r="C22" s="5">
        <v>22</v>
      </c>
      <c r="D22" s="5" t="s">
        <v>10</v>
      </c>
      <c r="E22" s="5" t="s">
        <v>11</v>
      </c>
      <c r="F22" s="8" t="s">
        <v>139</v>
      </c>
    </row>
    <row r="23" spans="1:6" ht="15.75" thickBot="1" x14ac:dyDescent="0.3">
      <c r="A23" s="6" t="s">
        <v>70</v>
      </c>
      <c r="B23" s="5" t="s">
        <v>140</v>
      </c>
      <c r="C23" s="5">
        <v>8</v>
      </c>
      <c r="D23" s="5" t="s">
        <v>102</v>
      </c>
      <c r="E23" s="5" t="s">
        <v>11</v>
      </c>
      <c r="F23" s="8" t="s">
        <v>141</v>
      </c>
    </row>
    <row r="24" spans="1:6" ht="15.75" thickBot="1" x14ac:dyDescent="0.3">
      <c r="A24" s="6" t="s">
        <v>73</v>
      </c>
      <c r="B24" s="5" t="s">
        <v>142</v>
      </c>
      <c r="C24" s="5">
        <v>500</v>
      </c>
      <c r="D24" s="5" t="s">
        <v>19</v>
      </c>
      <c r="E24" s="5" t="s">
        <v>11</v>
      </c>
      <c r="F24" s="8" t="s">
        <v>143</v>
      </c>
    </row>
    <row r="25" spans="1:6" x14ac:dyDescent="0.25">
      <c r="A25" s="20" t="s">
        <v>76</v>
      </c>
      <c r="B25" s="22" t="s">
        <v>144</v>
      </c>
      <c r="C25" s="22">
        <v>150</v>
      </c>
      <c r="D25" s="22" t="s">
        <v>19</v>
      </c>
      <c r="E25" s="22" t="s">
        <v>11</v>
      </c>
      <c r="F25" s="18" t="s">
        <v>145</v>
      </c>
    </row>
    <row r="26" spans="1:6" x14ac:dyDescent="0.25">
      <c r="A26" s="19"/>
      <c r="B26" s="23"/>
      <c r="C26" s="23"/>
      <c r="D26" s="23"/>
      <c r="E26" s="23"/>
      <c r="F26" s="17" t="s">
        <v>146</v>
      </c>
    </row>
    <row r="27" spans="1:6" x14ac:dyDescent="0.25">
      <c r="A27" s="19"/>
      <c r="B27" s="23"/>
      <c r="C27" s="23"/>
      <c r="D27" s="23"/>
      <c r="E27" s="23"/>
      <c r="F27" s="17" t="s">
        <v>147</v>
      </c>
    </row>
    <row r="28" spans="1:6" ht="25.5" x14ac:dyDescent="0.25">
      <c r="A28" s="19"/>
      <c r="B28" s="23"/>
      <c r="C28" s="23"/>
      <c r="D28" s="23"/>
      <c r="E28" s="23"/>
      <c r="F28" s="17" t="s">
        <v>148</v>
      </c>
    </row>
    <row r="29" spans="1:6" ht="25.5" x14ac:dyDescent="0.25">
      <c r="A29" s="19"/>
      <c r="B29" s="23"/>
      <c r="C29" s="23"/>
      <c r="D29" s="23"/>
      <c r="E29" s="23"/>
      <c r="F29" s="17" t="s">
        <v>149</v>
      </c>
    </row>
    <row r="30" spans="1:6" ht="25.5" x14ac:dyDescent="0.25">
      <c r="A30" s="19"/>
      <c r="B30" s="23"/>
      <c r="C30" s="23"/>
      <c r="D30" s="23"/>
      <c r="E30" s="23"/>
      <c r="F30" s="17" t="s">
        <v>150</v>
      </c>
    </row>
    <row r="31" spans="1:6" ht="15.75" thickBot="1" x14ac:dyDescent="0.3">
      <c r="A31" s="21"/>
      <c r="B31" s="24"/>
      <c r="C31" s="24"/>
      <c r="D31" s="24"/>
      <c r="E31" s="24"/>
      <c r="F31" s="8" t="s">
        <v>151</v>
      </c>
    </row>
    <row r="32" spans="1:6" ht="15.75" thickBot="1" x14ac:dyDescent="0.3">
      <c r="A32" s="6" t="s">
        <v>79</v>
      </c>
      <c r="B32" s="5" t="s">
        <v>152</v>
      </c>
      <c r="C32" s="5">
        <v>100</v>
      </c>
      <c r="D32" s="5" t="s">
        <v>19</v>
      </c>
      <c r="E32" s="5" t="s">
        <v>11</v>
      </c>
      <c r="F32" s="8" t="s">
        <v>153</v>
      </c>
    </row>
    <row r="33" spans="1:6" ht="15.75" thickBot="1" x14ac:dyDescent="0.3">
      <c r="A33" s="6" t="s">
        <v>82</v>
      </c>
      <c r="B33" s="5" t="s">
        <v>154</v>
      </c>
      <c r="C33" s="5">
        <v>210</v>
      </c>
      <c r="D33" s="5" t="s">
        <v>19</v>
      </c>
      <c r="E33" s="5" t="s">
        <v>11</v>
      </c>
      <c r="F33" s="8" t="s">
        <v>155</v>
      </c>
    </row>
    <row r="34" spans="1:6" ht="15.75" thickBot="1" x14ac:dyDescent="0.3">
      <c r="A34" s="6" t="s">
        <v>156</v>
      </c>
      <c r="B34" s="5" t="s">
        <v>157</v>
      </c>
      <c r="C34" s="5">
        <v>14</v>
      </c>
      <c r="D34" s="5" t="s">
        <v>10</v>
      </c>
      <c r="E34" s="5" t="s">
        <v>11</v>
      </c>
      <c r="F34" s="8" t="s">
        <v>158</v>
      </c>
    </row>
    <row r="35" spans="1:6" ht="15.75" thickBot="1" x14ac:dyDescent="0.3">
      <c r="A35" s="6" t="s">
        <v>159</v>
      </c>
      <c r="B35" s="5" t="s">
        <v>160</v>
      </c>
      <c r="C35" s="5">
        <v>14</v>
      </c>
      <c r="D35" s="5" t="s">
        <v>10</v>
      </c>
      <c r="E35" s="5" t="s">
        <v>11</v>
      </c>
      <c r="F35" s="8" t="s">
        <v>161</v>
      </c>
    </row>
    <row r="36" spans="1:6" ht="15.75" thickBot="1" x14ac:dyDescent="0.3">
      <c r="A36" s="6" t="s">
        <v>162</v>
      </c>
      <c r="B36" s="5" t="s">
        <v>163</v>
      </c>
      <c r="C36" s="5">
        <v>14</v>
      </c>
      <c r="D36" s="5" t="s">
        <v>10</v>
      </c>
      <c r="E36" s="5" t="s">
        <v>11</v>
      </c>
      <c r="F36" s="8" t="s">
        <v>164</v>
      </c>
    </row>
    <row r="37" spans="1:6" ht="15.75" thickBot="1" x14ac:dyDescent="0.3">
      <c r="A37" s="6" t="s">
        <v>165</v>
      </c>
      <c r="B37" s="5" t="s">
        <v>166</v>
      </c>
      <c r="C37" s="5">
        <v>14</v>
      </c>
      <c r="D37" s="5" t="s">
        <v>10</v>
      </c>
      <c r="E37" s="5" t="s">
        <v>11</v>
      </c>
      <c r="F37" s="8" t="s">
        <v>167</v>
      </c>
    </row>
    <row r="38" spans="1:6" ht="15.75" thickBot="1" x14ac:dyDescent="0.3">
      <c r="A38" s="6" t="s">
        <v>168</v>
      </c>
      <c r="B38" s="5" t="s">
        <v>83</v>
      </c>
      <c r="C38" s="5">
        <v>3</v>
      </c>
      <c r="D38" s="5" t="s">
        <v>19</v>
      </c>
      <c r="E38" s="5" t="s">
        <v>11</v>
      </c>
      <c r="F38" s="8" t="s">
        <v>84</v>
      </c>
    </row>
  </sheetData>
  <mergeCells count="7">
    <mergeCell ref="A1:F1"/>
    <mergeCell ref="A2:F2"/>
    <mergeCell ref="A25:A31"/>
    <mergeCell ref="B25:B31"/>
    <mergeCell ref="C25:C31"/>
    <mergeCell ref="D25:D31"/>
    <mergeCell ref="E25:E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despesa</vt:lpstr>
      <vt:lpstr>liquidacao</vt:lpstr>
      <vt:lpstr>desp pag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Santos</dc:creator>
  <cp:lastModifiedBy>gustavo Santos</cp:lastModifiedBy>
  <dcterms:created xsi:type="dcterms:W3CDTF">2024-08-21T02:20:11Z</dcterms:created>
  <dcterms:modified xsi:type="dcterms:W3CDTF">2024-08-21T02:33:23Z</dcterms:modified>
</cp:coreProperties>
</file>